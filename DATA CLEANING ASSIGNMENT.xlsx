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3CBE543-C7EA-426B-A595-702E304DF9EF}" xr6:coauthVersionLast="47" xr6:coauthVersionMax="47" xr10:uidLastSave="{00000000-0000-0000-0000-000000000000}"/>
  <bookViews>
    <workbookView xWindow="-108" yWindow="-108" windowWidth="23256" windowHeight="12456" activeTab="2" xr2:uid="{207BC166-6D2F-47FE-9A70-814ED23912FF}"/>
  </bookViews>
  <sheets>
    <sheet name="Sheet1" sheetId="2" r:id="rId1"/>
    <sheet name="Sheet2" sheetId="1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5" i="3" l="1"/>
  <c r="I95" i="3"/>
  <c r="J101" i="3"/>
  <c r="I101" i="3"/>
  <c r="I114" i="3"/>
  <c r="K83" i="3" l="1"/>
  <c r="K84" i="3"/>
  <c r="K85" i="3"/>
  <c r="K82" i="3"/>
  <c r="I77" i="3"/>
  <c r="J73" i="3"/>
  <c r="I69" i="3"/>
  <c r="I65" i="3"/>
  <c r="J59" i="3"/>
  <c r="J55" i="3"/>
  <c r="J51" i="3"/>
  <c r="J46" i="3"/>
  <c r="J41" i="3"/>
</calcChain>
</file>

<file path=xl/sharedStrings.xml><?xml version="1.0" encoding="utf-8"?>
<sst xmlns="http://schemas.openxmlformats.org/spreadsheetml/2006/main" count="225" uniqueCount="193">
  <si>
    <t>Employee</t>
  </si>
  <si>
    <t>Department</t>
  </si>
  <si>
    <t>Salary</t>
  </si>
  <si>
    <t>sonu</t>
  </si>
  <si>
    <t>pranav</t>
  </si>
  <si>
    <t>rahul</t>
  </si>
  <si>
    <t>IT</t>
  </si>
  <si>
    <t>HR</t>
  </si>
  <si>
    <t xml:space="preserve">           ANS:-</t>
  </si>
  <si>
    <t>select the dataset of department (A-Z) and salary .</t>
  </si>
  <si>
    <t>click on the data and select the sortdialog box</t>
  </si>
  <si>
    <t xml:space="preserve">add levels and  define sorting rules </t>
  </si>
  <si>
    <t>STEP BY STEP APPROACH:-</t>
  </si>
  <si>
    <t>Eplain the use of text functions such as TRIM , LEFT, RIGHT, MID, and CONCAT in data cleaning ?</t>
  </si>
  <si>
    <t>Removes extra spaces from text, except single spaces between words.</t>
  </si>
  <si>
    <t xml:space="preserve">        TRIM:-  </t>
  </si>
  <si>
    <t>FORMULA ; ,=TRIM(TEXT)</t>
  </si>
  <si>
    <t xml:space="preserve">         LEFT:-</t>
  </si>
  <si>
    <t>Extracts characters from the start of text.</t>
  </si>
  <si>
    <t>FORMULA : ,=LEFT(text, num_chars)</t>
  </si>
  <si>
    <t xml:space="preserve">     RIGHT:-</t>
  </si>
  <si>
    <t>Extracts characters from the end of text.</t>
  </si>
  <si>
    <t>FORMULA :,=RIGHT( text, num_ chars)</t>
  </si>
  <si>
    <t xml:space="preserve">            MID:-</t>
  </si>
  <si>
    <t>Extracts characters from the mid of text.</t>
  </si>
  <si>
    <t xml:space="preserve">CONCAT:- </t>
  </si>
  <si>
    <t>FORMULA: =MID(text, start_num, num_chars)</t>
  </si>
  <si>
    <t>Joins text from multiple cells.</t>
  </si>
  <si>
    <t>,=CONCAT(text1, text2, ...)</t>
  </si>
  <si>
    <t xml:space="preserve">   FORMULA:-</t>
  </si>
  <si>
    <t>How would you sort the following dataset first by "Department" (A-Z) and then by "Salary" (Largest to Smallest)? Write a step-by-step approach.?</t>
  </si>
  <si>
    <t>What is the role of date functions like TODAY in managing datasets?</t>
  </si>
  <si>
    <t xml:space="preserve">         ANS:-</t>
  </si>
  <si>
    <t xml:space="preserve">          ANS:-</t>
  </si>
  <si>
    <t>Returns the current date without the time component. It</t>
  </si>
  <si>
    <t>updates automatically to reflect the current system date whenever the</t>
  </si>
  <si>
    <t>worksheet is recalculated.</t>
  </si>
  <si>
    <t>What is data cleaning, and why is it important in data analysis?</t>
  </si>
  <si>
    <t>Explain the common steps involved in cleaning and organizing data.</t>
  </si>
  <si>
    <t xml:space="preserve">                      </t>
  </si>
  <si>
    <t>What are the potential consequences of analyzing unclean or messy data ?</t>
  </si>
  <si>
    <t>• It is essential as it ensures that the data is</t>
  </si>
  <si>
    <t>accurate and reliable for analysis</t>
  </si>
  <si>
    <t>Data cleaning is a process of removing errors ,</t>
  </si>
  <si>
    <t>duplicates and inconsistencies from the data</t>
  </si>
  <si>
    <t xml:space="preserve"> </t>
  </si>
  <si>
    <t xml:space="preserve"> data.</t>
  </si>
  <si>
    <t xml:space="preserve">ASSIGNMENT :- </t>
  </si>
  <si>
    <t>DATA CLEANINGS AND EXCEL FUNCTIONS</t>
  </si>
  <si>
    <t>Extract the first 5 characters from the string "ExcelTipsAreGreat" using the LEFT function.</t>
  </si>
  <si>
    <t>exceltipsaregreat</t>
  </si>
  <si>
    <t>FORMULA: - ,=Left(</t>
  </si>
  <si>
    <t xml:space="preserve">                    -&gt;</t>
  </si>
  <si>
    <t>Extract the last 4 characters from "DataAnalysis.xlsx" using the RIGHT function</t>
  </si>
  <si>
    <t>DataAnalysis.xlsx</t>
  </si>
  <si>
    <t xml:space="preserve">                     =</t>
  </si>
  <si>
    <t>FORMULA:-</t>
  </si>
  <si>
    <t>Extract the substring "Tips" from "ExcelTipsAreGreat" using the MID function</t>
  </si>
  <si>
    <t xml:space="preserve">  ,=MID(text, start_num, num_chars)</t>
  </si>
  <si>
    <t>FORMULA:</t>
  </si>
  <si>
    <t>,=RIGHT(text, num_chars)</t>
  </si>
  <si>
    <t>,=LEFT(text, num_chars)</t>
  </si>
  <si>
    <t xml:space="preserve">            ANS</t>
  </si>
  <si>
    <t xml:space="preserve">              Ans</t>
  </si>
  <si>
    <t>Count the total number of characters in the string "Hello World!" using the LEN function.</t>
  </si>
  <si>
    <t>FORMULA:- ,=LEN(text)</t>
  </si>
  <si>
    <t>Hello World!</t>
  </si>
  <si>
    <t>FORMULA:- ,=</t>
  </si>
  <si>
    <t>Create a formula to extract the middle 6 characters from "12345-67890-ABCDE"</t>
  </si>
  <si>
    <t>,=MID(text, start_num, num_chars)</t>
  </si>
  <si>
    <t>12345-67890-ABCDE</t>
  </si>
  <si>
    <t>Understand how to combine text using CONCAT, TEXTJOIN, and the &amp; operator.</t>
  </si>
  <si>
    <t xml:space="preserve">            ANS.</t>
  </si>
  <si>
    <t xml:space="preserve">                     a     Use CONCAT to combine "Hello" and "World" with a space in between.</t>
  </si>
  <si>
    <t xml:space="preserve">                -&gt;</t>
  </si>
  <si>
    <t>HELLO</t>
  </si>
  <si>
    <t>WORLD</t>
  </si>
  <si>
    <t xml:space="preserve">                   b</t>
  </si>
  <si>
    <t>Combine "Apple", "Banana", and "Cherry" into a single string separated by commas using TEXTJOIN.</t>
  </si>
  <si>
    <t xml:space="preserve">                  -&gt;</t>
  </si>
  <si>
    <t>APPLE</t>
  </si>
  <si>
    <t>BANANA</t>
  </si>
  <si>
    <t>CHERRY</t>
  </si>
  <si>
    <t>Functions".</t>
  </si>
  <si>
    <t xml:space="preserve">                    d</t>
  </si>
  <si>
    <t>Create a comma-separated list from the range A1:A5 using TEXTJOIN</t>
  </si>
  <si>
    <r>
      <t xml:space="preserve">Use the </t>
    </r>
    <r>
      <rPr>
        <sz val="11"/>
        <color rgb="FFFF0000"/>
        <rFont val="Aptos Narrow"/>
        <family val="2"/>
        <scheme val="minor"/>
      </rPr>
      <t>&amp;</t>
    </r>
    <r>
      <rPr>
        <sz val="11"/>
        <color theme="1"/>
        <rFont val="Aptos Narrow"/>
        <family val="2"/>
        <scheme val="minor"/>
      </rPr>
      <t xml:space="preserve"> operator to create the string "2025: Excel Functions" by combining "2025", ": ", and "Excel </t>
    </r>
  </si>
  <si>
    <t>DATES</t>
  </si>
  <si>
    <t>ORANGES</t>
  </si>
  <si>
    <t xml:space="preserve">                  e</t>
  </si>
  <si>
    <t>combine first names in column A with last names in column B to create full names in column C.</t>
  </si>
  <si>
    <t xml:space="preserve">                 c</t>
  </si>
  <si>
    <t xml:space="preserve"> column a</t>
  </si>
  <si>
    <t>column b</t>
  </si>
  <si>
    <t>column c</t>
  </si>
  <si>
    <t>RAJA</t>
  </si>
  <si>
    <t>KHARE</t>
  </si>
  <si>
    <t>HAPPY</t>
  </si>
  <si>
    <t>RAJ</t>
  </si>
  <si>
    <t>RIYA</t>
  </si>
  <si>
    <t>PANDEY</t>
  </si>
  <si>
    <t>NEELAM</t>
  </si>
  <si>
    <t>TIWARI</t>
  </si>
  <si>
    <t>Understand and apply fundamental text functions like LEFT, RIGHT, MID, and LEN ?</t>
  </si>
  <si>
    <t xml:space="preserve">                 -&gt;</t>
  </si>
  <si>
    <t>Understanding TODAY() and NOW()</t>
  </si>
  <si>
    <t xml:space="preserve">                a</t>
  </si>
  <si>
    <t xml:space="preserve"> What is the difference between TODAY() and NOW() in Excel? Provide an example of when you would use_x000B_each function.</t>
  </si>
  <si>
    <t>dynamically but includes the time component, accurate to the second.</t>
  </si>
  <si>
    <r>
      <rPr>
        <b/>
        <sz val="11"/>
        <color theme="5" tint="-0.249977111117893"/>
        <rFont val="Aptos Narrow"/>
        <family val="2"/>
        <scheme val="minor"/>
      </rPr>
      <t>NOW()</t>
    </r>
    <r>
      <rPr>
        <sz val="11"/>
        <color theme="1"/>
        <rFont val="Aptos Narrow"/>
        <family val="2"/>
        <scheme val="minor"/>
      </rPr>
      <t>: Returns the current date and time. Like TODAY(), it updates</t>
    </r>
  </si>
  <si>
    <r>
      <rPr>
        <b/>
        <sz val="11"/>
        <color theme="5" tint="-0.249977111117893"/>
        <rFont val="Aptos Narrow"/>
        <family val="2"/>
        <scheme val="minor"/>
      </rPr>
      <t>TODAY()</t>
    </r>
    <r>
      <rPr>
        <sz val="11"/>
        <color theme="1"/>
        <rFont val="Aptos Narrow"/>
        <family val="2"/>
        <scheme val="minor"/>
      </rPr>
      <t>: Returns the current date without the time component. It</t>
    </r>
  </si>
  <si>
    <t>Apply Data Validation to restrict Quantity values to only whole numbers between 1 and 10</t>
  </si>
  <si>
    <t>Configure an input message that appears when a user selects a cell in the "Quantity" column explaining:  "Please enter a whole number between 1 and 10.</t>
  </si>
  <si>
    <t>Set up an error alert message that triggers if the user enters a number less than 1 or greater than 10, showing:</t>
  </si>
  <si>
    <t>"Invalid input! The quantity must be a whole number between 1 and 10."</t>
  </si>
  <si>
    <t>Write a step-by-step approach for this question</t>
  </si>
  <si>
    <t>Customer Name</t>
  </si>
  <si>
    <t>PRODUCT NAME</t>
  </si>
  <si>
    <t>CATEGORY</t>
  </si>
  <si>
    <t>QUANTITY</t>
  </si>
  <si>
    <t>UNIT PRICE($)</t>
  </si>
  <si>
    <t>Jane smith</t>
  </si>
  <si>
    <t>Isabella Moore</t>
  </si>
  <si>
    <t>Daniel Davis</t>
  </si>
  <si>
    <t>Alex moore</t>
  </si>
  <si>
    <t>Michael jhonson</t>
  </si>
  <si>
    <t>Daniel Jhonson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</si>
  <si>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</si>
  <si>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</si>
  <si>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</si>
  <si>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</si>
  <si>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</si>
  <si>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</si>
  <si>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</si>
  <si>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</si>
  <si>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Headphones</t>
  </si>
  <si>
    <t>T-shirt</t>
  </si>
  <si>
    <t>Electronics</t>
  </si>
  <si>
    <t>Clothing</t>
  </si>
  <si>
    <t>Home décor</t>
  </si>
  <si>
    <t xml:space="preserve">                  a</t>
  </si>
  <si>
    <t xml:space="preserve">                  b</t>
  </si>
  <si>
    <t xml:space="preserve">          ANS</t>
  </si>
  <si>
    <t>STEP TO STEP APPROACH :-</t>
  </si>
  <si>
    <t>create rule for.</t>
  </si>
  <si>
    <t>validation criteria (e.g.,</t>
  </si>
  <si>
    <t>whole number,list,date</t>
  </si>
  <si>
    <r>
      <rPr>
        <b/>
        <sz val="11"/>
        <color theme="1"/>
        <rFont val="Aptos Narrow"/>
        <family val="2"/>
        <scheme val="minor"/>
      </rPr>
      <t>STEP 1</t>
    </r>
    <r>
      <rPr>
        <sz val="11"/>
        <color theme="1"/>
        <rFont val="Aptos Narrow"/>
        <family val="2"/>
        <scheme val="minor"/>
      </rPr>
      <t xml:space="preserve"> :Select the cell you want to</t>
    </r>
  </si>
  <si>
    <r>
      <rPr>
        <b/>
        <sz val="11"/>
        <color theme="1"/>
        <rFont val="Aptos Narrow"/>
        <family val="2"/>
        <scheme val="minor"/>
      </rPr>
      <t>Step 2</t>
    </r>
    <r>
      <rPr>
        <sz val="11"/>
        <color theme="1"/>
        <rFont val="Aptos Narrow"/>
        <family val="2"/>
        <scheme val="minor"/>
      </rPr>
      <t xml:space="preserve"> : Click Data on ribbon tab.</t>
    </r>
  </si>
  <si>
    <r>
      <rPr>
        <b/>
        <sz val="11"/>
        <color theme="1"/>
        <rFont val="Aptos Narrow"/>
        <family val="2"/>
        <scheme val="minor"/>
      </rPr>
      <t>Step 3</t>
    </r>
    <r>
      <rPr>
        <sz val="11"/>
        <color theme="1"/>
        <rFont val="Aptos Narrow"/>
        <family val="2"/>
        <scheme val="minor"/>
      </rPr>
      <t xml:space="preserve"> : Select
Data validation</t>
    </r>
  </si>
  <si>
    <r>
      <rPr>
        <b/>
        <sz val="11"/>
        <color theme="1"/>
        <rFont val="Aptos Narrow"/>
        <family val="2"/>
        <scheme val="minor"/>
      </rPr>
      <t>Step 4</t>
    </r>
    <r>
      <rPr>
        <sz val="11"/>
        <color theme="1"/>
        <rFont val="Aptos Narrow"/>
        <family val="2"/>
        <scheme val="minor"/>
      </rPr>
      <t xml:space="preserve"> : Choose the</t>
    </r>
  </si>
  <si>
    <r>
      <rPr>
        <b/>
        <sz val="11"/>
        <color theme="1"/>
        <rFont val="Aptos Narrow"/>
        <family val="2"/>
        <scheme val="minor"/>
      </rPr>
      <t>Step 5:</t>
    </r>
    <r>
      <rPr>
        <sz val="11"/>
        <color theme="1"/>
        <rFont val="Aptos Narrow"/>
        <family val="2"/>
        <scheme val="minor"/>
      </rPr>
      <t xml:space="preserve"> Under
Data select a
condition.</t>
    </r>
  </si>
  <si>
    <r>
      <rPr>
        <b/>
        <sz val="11"/>
        <color theme="1"/>
        <rFont val="Aptos Narrow"/>
        <family val="2"/>
        <scheme val="minor"/>
      </rPr>
      <t xml:space="preserve">Step 7 : </t>
    </r>
    <r>
      <rPr>
        <sz val="11"/>
        <color theme="1"/>
        <rFont val="Aptos Narrow"/>
        <family val="2"/>
        <scheme val="minor"/>
      </rPr>
      <t>Select the Input Message tab and customize a
message users will see when
entering data.</t>
    </r>
  </si>
  <si>
    <r>
      <rPr>
        <b/>
        <sz val="11"/>
        <color theme="1"/>
        <rFont val="Aptos Narrow"/>
        <family val="2"/>
        <scheme val="minor"/>
      </rPr>
      <t>Step 8</t>
    </r>
    <r>
      <rPr>
        <sz val="11"/>
        <color theme="1"/>
        <rFont val="Aptos Narrow"/>
        <family val="2"/>
        <scheme val="minor"/>
      </rPr>
      <t xml:space="preserve"> : Select the Error Alert tab to customize
the error message and to choose a Style</t>
    </r>
  </si>
  <si>
    <t xml:space="preserve">                       b</t>
  </si>
  <si>
    <t xml:space="preserve"> If cell A1 contains the date 2025-06-10, write a formula using TODAY() to determine how many days are</t>
  </si>
  <si>
    <t>left until that date</t>
  </si>
  <si>
    <t xml:space="preserve">           -&gt;</t>
  </si>
  <si>
    <t>Write an Excel formula using NOW() to display the current date and time in the format MM/DD/YYYY</t>
  </si>
  <si>
    <t>HH:MM AM/PM. ́</t>
  </si>
  <si>
    <t xml:space="preserve">                        c</t>
  </si>
  <si>
    <t xml:space="preserve">                        d</t>
  </si>
  <si>
    <t>If a cell contains =TODAY(), what will happen when the worksheet is reopened the next day? Explain</t>
  </si>
  <si>
    <t xml:space="preserve">                      -&gt;</t>
  </si>
  <si>
    <r>
      <t xml:space="preserve">                     </t>
    </r>
    <r>
      <rPr>
        <sz val="11"/>
        <color theme="1"/>
        <rFont val="Aptos Narrow"/>
        <family val="2"/>
        <scheme val="minor"/>
      </rPr>
      <t xml:space="preserve"> -&gt;</t>
    </r>
  </si>
  <si>
    <t>When you reopen the worksheet tomorrow, Excel recalculates =TODAY().</t>
  </si>
  <si>
    <t>The cell will now display tomorrow’s date, not the date from when you last saved the file.</t>
  </si>
  <si>
    <t>This is because TODAY() always reflects the present day according to your computer’s clock.</t>
  </si>
  <si>
    <t xml:space="preserve">                       e</t>
  </si>
  <si>
    <t>You want to store a static date (today’s date) in a cell without it changing every day. What keyboard shortcut should you use?</t>
  </si>
  <si>
    <t>In Excel, you can insert today’s date as a fixed value using:</t>
  </si>
  <si>
    <r>
      <t xml:space="preserve"> </t>
    </r>
    <r>
      <rPr>
        <b/>
        <sz val="11"/>
        <color theme="1"/>
        <rFont val="Aptos Narrow"/>
        <family val="2"/>
        <scheme val="minor"/>
      </rPr>
      <t>Ctrl + ; (Control key + semicolon</t>
    </r>
    <r>
      <rPr>
        <sz val="11"/>
        <color theme="1"/>
        <rFont val="Aptos Narrow"/>
        <family val="2"/>
        <scheme val="minor"/>
      </rPr>
      <t>)</t>
    </r>
  </si>
  <si>
    <t xml:space="preserve">EXAMPLE:  </t>
  </si>
  <si>
    <t>Inaccurate Results:</t>
  </si>
  <si>
    <t>Poor Decision-Making</t>
  </si>
  <si>
    <t>Reduced Efficiency</t>
  </si>
  <si>
    <t>Loss of Credibility</t>
  </si>
  <si>
    <t>Compromised Models</t>
  </si>
  <si>
    <r>
      <rPr>
        <sz val="11"/>
        <color theme="5" tint="-0.249977111117893"/>
        <rFont val="Aptos Narrow"/>
        <family val="2"/>
        <scheme val="minor"/>
      </rPr>
      <t>POTENTIAL CONSEQUENCES :</t>
    </r>
    <r>
      <rPr>
        <sz val="11"/>
        <color theme="1"/>
        <rFont val="Aptos Narrow"/>
        <family val="2"/>
        <scheme val="minor"/>
      </rPr>
      <t xml:space="preserve"> -</t>
    </r>
  </si>
  <si>
    <t xml:space="preserve">           </t>
  </si>
  <si>
    <t xml:space="preserve">  Example: -</t>
  </si>
  <si>
    <t xml:space="preserve"> If cell A1 contains the date 2025-06-10, write a formula using TODAY() to determine how many days are left until that date</t>
  </si>
  <si>
    <t xml:space="preserve">                      b</t>
  </si>
  <si>
    <t>BY :- SHREYASH KHARE</t>
  </si>
  <si>
    <t>STEPS:</t>
  </si>
  <si>
    <t>Remove Duplicates</t>
  </si>
  <si>
    <t>Handle Missing Values</t>
  </si>
  <si>
    <t>Correct Inconsistencies</t>
  </si>
  <si>
    <t>Trim Extra Spaces</t>
  </si>
  <si>
    <t>Validate Data</t>
  </si>
  <si>
    <t>Sort and Organize</t>
  </si>
  <si>
    <t>Use Text Functions</t>
  </si>
  <si>
    <r>
      <rPr>
        <b/>
        <sz val="11"/>
        <color theme="1"/>
        <rFont val="Aptos Narrow"/>
        <family val="2"/>
        <scheme val="minor"/>
      </rPr>
      <t>STEP6</t>
    </r>
    <r>
      <rPr>
        <sz val="11"/>
        <color theme="1"/>
        <rFont val="Aptos Narrow"/>
        <family val="2"/>
        <scheme val="minor"/>
      </rPr>
      <t>: Set the other required values based on what you chose for allow and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</si>
</sst>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2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0" fillId="4" borderId="0" xfId="0" applyFill="1"/>
    <xf numFmtId="0" fontId="2" fillId="4" borderId="2" xfId="0" applyFont="1" applyFill="1" applyBorder="1"/>
    <xf numFmtId="0" fontId="2" fillId="4" borderId="4" xfId="0" applyFont="1" applyFill="1" applyBorder="1"/>
    <xf numFmtId="0" fontId="2" fillId="0" borderId="0" xfId="0" applyFont="1"/>
    <xf numFmtId="0" fontId="2" fillId="4" borderId="3" xfId="0" applyFont="1" applyFill="1" applyBorder="1"/>
    <xf numFmtId="0" fontId="2" fillId="4" borderId="5" xfId="0" applyFont="1" applyFill="1" applyBorder="1"/>
    <xf numFmtId="0" fontId="0" fillId="5" borderId="0" xfId="0" applyFill="1"/>
    <xf numFmtId="0" fontId="0" fillId="0" borderId="0" xfId="0" applyAlignment="1">
      <alignment wrapText="1"/>
    </xf>
    <xf numFmtId="0" fontId="4" fillId="0" borderId="1" xfId="0" applyFont="1" applyBorder="1"/>
    <xf numFmtId="0" fontId="0" fillId="2" borderId="0" xfId="0" applyFill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0" fillId="0" borderId="0" xfId="0" applyNumberFormat="1"/>
    <xf numFmtId="22" fontId="0" fillId="0" borderId="0" xfId="0" applyNumberFormat="1"/>
    <xf numFmtId="0" fontId="3" fillId="2" borderId="0" xfId="0" applyFont="1" applyFill="1"/>
    <xf numFmtId="0" fontId="3" fillId="0" borderId="0" xfId="0" applyFont="1"/>
    <xf numFmtId="0" fontId="0" fillId="6" borderId="0" xfId="0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B179-0D85-4761-B00F-4A6E8EA82382}">
  <dimension ref="H8:Q11"/>
  <sheetViews>
    <sheetView workbookViewId="0">
      <selection activeCell="P11" sqref="P11"/>
    </sheetView>
  </sheetViews>
  <sheetFormatPr defaultRowHeight="14.4" x14ac:dyDescent="0.3"/>
  <sheetData>
    <row r="8" spans="8:17" ht="30" customHeight="1" x14ac:dyDescent="0.5">
      <c r="H8" s="15" t="s">
        <v>47</v>
      </c>
      <c r="I8" s="9"/>
      <c r="J8" s="11"/>
      <c r="K8" s="13"/>
      <c r="L8" s="13"/>
    </row>
    <row r="9" spans="8:17" ht="23.4" customHeight="1" x14ac:dyDescent="0.5">
      <c r="H9" s="13"/>
      <c r="I9" s="14" t="s">
        <v>48</v>
      </c>
      <c r="J9" s="8"/>
      <c r="K9" s="12"/>
      <c r="L9" s="12"/>
      <c r="M9" s="10"/>
      <c r="N9" s="10"/>
      <c r="O9" s="10"/>
      <c r="P9" s="10"/>
    </row>
    <row r="10" spans="8:17" ht="24.6" customHeight="1" x14ac:dyDescent="0.3"/>
    <row r="11" spans="8:17" ht="31.2" x14ac:dyDescent="0.6">
      <c r="P11" s="27" t="s">
        <v>183</v>
      </c>
      <c r="Q11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772E-033F-4A0F-BF5C-FFA54C350A19}">
  <dimension ref="H1:V41"/>
  <sheetViews>
    <sheetView zoomScale="92" workbookViewId="0">
      <selection activeCell="P25" sqref="P25"/>
    </sheetView>
  </sheetViews>
  <sheetFormatPr defaultRowHeight="14.4" x14ac:dyDescent="0.3"/>
  <cols>
    <col min="10" max="10" width="11.33203125" customWidth="1"/>
  </cols>
  <sheetData>
    <row r="1" spans="8:22" ht="18" customHeight="1" x14ac:dyDescent="0.3">
      <c r="H1">
        <v>1</v>
      </c>
      <c r="I1" s="6" t="s">
        <v>37</v>
      </c>
      <c r="J1" s="6"/>
      <c r="K1" s="6"/>
      <c r="L1" s="6"/>
      <c r="M1" s="6"/>
      <c r="N1" s="6"/>
    </row>
    <row r="2" spans="8:22" x14ac:dyDescent="0.3">
      <c r="H2" t="s">
        <v>39</v>
      </c>
      <c r="I2" s="6" t="s">
        <v>40</v>
      </c>
      <c r="J2" s="6"/>
      <c r="K2" s="6"/>
      <c r="L2" s="6"/>
      <c r="M2" s="6"/>
      <c r="N2" s="6"/>
      <c r="O2" s="6"/>
    </row>
    <row r="3" spans="8:22" ht="14.4" customHeight="1" x14ac:dyDescent="0.3">
      <c r="I3" s="6" t="s">
        <v>38</v>
      </c>
      <c r="J3" s="6"/>
      <c r="K3" s="6"/>
      <c r="L3" s="6"/>
      <c r="M3" s="6"/>
      <c r="N3" s="6"/>
      <c r="T3" s="5" t="s">
        <v>184</v>
      </c>
    </row>
    <row r="4" spans="8:22" x14ac:dyDescent="0.3">
      <c r="H4" t="s">
        <v>33</v>
      </c>
      <c r="N4" t="s">
        <v>45</v>
      </c>
      <c r="T4">
        <v>1</v>
      </c>
      <c r="U4" t="s">
        <v>185</v>
      </c>
    </row>
    <row r="5" spans="8:22" ht="15" customHeight="1" x14ac:dyDescent="0.3">
      <c r="I5" t="s">
        <v>43</v>
      </c>
      <c r="N5" s="5" t="s">
        <v>178</v>
      </c>
      <c r="O5" s="5"/>
      <c r="P5" s="5"/>
      <c r="Q5" t="s">
        <v>173</v>
      </c>
      <c r="T5">
        <v>2</v>
      </c>
      <c r="U5" t="s">
        <v>186</v>
      </c>
    </row>
    <row r="6" spans="8:22" x14ac:dyDescent="0.3">
      <c r="I6" t="s">
        <v>44</v>
      </c>
      <c r="L6" t="s">
        <v>46</v>
      </c>
      <c r="Q6" t="s">
        <v>174</v>
      </c>
      <c r="T6">
        <v>3</v>
      </c>
      <c r="U6" t="s">
        <v>187</v>
      </c>
    </row>
    <row r="7" spans="8:22" x14ac:dyDescent="0.3">
      <c r="I7" t="s">
        <v>41</v>
      </c>
      <c r="Q7" t="s">
        <v>175</v>
      </c>
      <c r="T7">
        <v>4</v>
      </c>
      <c r="U7" t="s">
        <v>188</v>
      </c>
    </row>
    <row r="8" spans="8:22" x14ac:dyDescent="0.3">
      <c r="I8" t="s">
        <v>42</v>
      </c>
      <c r="Q8" t="s">
        <v>176</v>
      </c>
      <c r="T8">
        <v>5</v>
      </c>
      <c r="U8" t="s">
        <v>189</v>
      </c>
    </row>
    <row r="9" spans="8:22" x14ac:dyDescent="0.3">
      <c r="Q9" t="s">
        <v>177</v>
      </c>
      <c r="T9">
        <v>6</v>
      </c>
      <c r="U9" t="s">
        <v>190</v>
      </c>
    </row>
    <row r="10" spans="8:22" x14ac:dyDescent="0.3">
      <c r="T10">
        <v>7</v>
      </c>
      <c r="U10" t="s">
        <v>191</v>
      </c>
    </row>
    <row r="12" spans="8:22" x14ac:dyDescent="0.3">
      <c r="H12" s="1">
        <v>2</v>
      </c>
      <c r="I12" s="6" t="s">
        <v>30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8:22" x14ac:dyDescent="0.3">
      <c r="H13" s="4" t="s">
        <v>8</v>
      </c>
      <c r="L13" s="5" t="s">
        <v>12</v>
      </c>
      <c r="M13" s="5"/>
      <c r="N13" s="5"/>
    </row>
    <row r="14" spans="8:22" x14ac:dyDescent="0.3">
      <c r="I14" s="3" t="s">
        <v>0</v>
      </c>
      <c r="J14" s="3" t="s">
        <v>1</v>
      </c>
      <c r="K14" s="3" t="s">
        <v>2</v>
      </c>
      <c r="L14">
        <v>1</v>
      </c>
      <c r="M14" t="s">
        <v>9</v>
      </c>
    </row>
    <row r="15" spans="8:22" x14ac:dyDescent="0.3">
      <c r="I15" s="2" t="s">
        <v>4</v>
      </c>
      <c r="J15" s="2" t="s">
        <v>7</v>
      </c>
      <c r="K15" s="2">
        <v>5000</v>
      </c>
      <c r="L15">
        <v>2</v>
      </c>
      <c r="M15" t="s">
        <v>10</v>
      </c>
    </row>
    <row r="16" spans="8:22" x14ac:dyDescent="0.3">
      <c r="I16" s="2" t="s">
        <v>5</v>
      </c>
      <c r="J16" s="2" t="s">
        <v>6</v>
      </c>
      <c r="K16" s="2">
        <v>2500</v>
      </c>
      <c r="L16">
        <v>3</v>
      </c>
      <c r="M16" t="s">
        <v>11</v>
      </c>
    </row>
    <row r="17" spans="8:17" x14ac:dyDescent="0.3">
      <c r="I17" s="2" t="s">
        <v>3</v>
      </c>
      <c r="J17" s="2" t="s">
        <v>6</v>
      </c>
      <c r="K17" s="2">
        <v>4000</v>
      </c>
    </row>
    <row r="20" spans="8:17" x14ac:dyDescent="0.3">
      <c r="H20">
        <v>3</v>
      </c>
      <c r="I20" s="6" t="s">
        <v>13</v>
      </c>
      <c r="J20" s="6"/>
      <c r="K20" s="6"/>
      <c r="L20" s="6"/>
      <c r="M20" s="6"/>
      <c r="N20" s="6"/>
      <c r="O20" s="6"/>
      <c r="P20" s="6"/>
      <c r="Q20" s="6"/>
    </row>
    <row r="21" spans="8:17" x14ac:dyDescent="0.3">
      <c r="H21" t="s">
        <v>33</v>
      </c>
    </row>
    <row r="22" spans="8:17" ht="16.2" customHeight="1" x14ac:dyDescent="0.3">
      <c r="I22" s="7" t="s">
        <v>15</v>
      </c>
      <c r="J22" t="s">
        <v>14</v>
      </c>
    </row>
    <row r="23" spans="8:17" x14ac:dyDescent="0.3">
      <c r="J23" t="s">
        <v>16</v>
      </c>
    </row>
    <row r="25" spans="8:17" x14ac:dyDescent="0.3">
      <c r="I25" s="6" t="s">
        <v>17</v>
      </c>
      <c r="J25" t="s">
        <v>18</v>
      </c>
    </row>
    <row r="26" spans="8:17" x14ac:dyDescent="0.3">
      <c r="J26" t="s">
        <v>19</v>
      </c>
    </row>
    <row r="28" spans="8:17" x14ac:dyDescent="0.3">
      <c r="I28" s="6" t="s">
        <v>20</v>
      </c>
      <c r="J28" t="s">
        <v>21</v>
      </c>
    </row>
    <row r="29" spans="8:17" x14ac:dyDescent="0.3">
      <c r="J29" t="s">
        <v>22</v>
      </c>
    </row>
    <row r="31" spans="8:17" x14ac:dyDescent="0.3">
      <c r="I31" s="6" t="s">
        <v>23</v>
      </c>
      <c r="J31" t="s">
        <v>24</v>
      </c>
    </row>
    <row r="32" spans="8:17" x14ac:dyDescent="0.3">
      <c r="J32" t="s">
        <v>26</v>
      </c>
    </row>
    <row r="34" spans="8:14" x14ac:dyDescent="0.3">
      <c r="I34" s="6" t="s">
        <v>25</v>
      </c>
      <c r="J34" t="s">
        <v>27</v>
      </c>
    </row>
    <row r="35" spans="8:14" x14ac:dyDescent="0.3">
      <c r="J35" t="s">
        <v>29</v>
      </c>
      <c r="K35" t="s">
        <v>28</v>
      </c>
    </row>
    <row r="37" spans="8:14" x14ac:dyDescent="0.3">
      <c r="H37">
        <v>4</v>
      </c>
      <c r="I37" s="6" t="s">
        <v>31</v>
      </c>
      <c r="J37" s="6"/>
      <c r="K37" s="6"/>
      <c r="L37" s="6"/>
      <c r="M37" s="6"/>
      <c r="N37" s="6"/>
    </row>
    <row r="38" spans="8:14" x14ac:dyDescent="0.3">
      <c r="H38" t="s">
        <v>32</v>
      </c>
    </row>
    <row r="39" spans="8:14" x14ac:dyDescent="0.3">
      <c r="I39" t="s">
        <v>34</v>
      </c>
    </row>
    <row r="40" spans="8:14" ht="15" customHeight="1" x14ac:dyDescent="0.3">
      <c r="I40" t="s">
        <v>35</v>
      </c>
    </row>
    <row r="41" spans="8:14" x14ac:dyDescent="0.3">
      <c r="I41" t="s">
        <v>36</v>
      </c>
    </row>
  </sheetData>
  <sortState xmlns:xlrd2="http://schemas.microsoft.com/office/spreadsheetml/2017/richdata2" ref="I15:K17">
    <sortCondition ref="I15:I1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5DFF-FE9F-4E4C-889F-DD7A63BD854A}">
  <dimension ref="H3:T125"/>
  <sheetViews>
    <sheetView tabSelected="1" topLeftCell="B1" zoomScale="110" zoomScaleNormal="83" workbookViewId="0">
      <selection activeCell="Y46" sqref="Y46"/>
    </sheetView>
  </sheetViews>
  <sheetFormatPr defaultRowHeight="14.4" x14ac:dyDescent="0.3"/>
  <cols>
    <col min="6" max="6" width="14.77734375" customWidth="1"/>
    <col min="7" max="7" width="12.77734375" customWidth="1"/>
    <col min="8" max="8" width="10.77734375" customWidth="1"/>
    <col min="9" max="9" width="17.5546875" customWidth="1"/>
    <col min="10" max="10" width="16.33203125" customWidth="1"/>
    <col min="11" max="11" width="13.6640625" customWidth="1"/>
    <col min="12" max="12" width="10.44140625" bestFit="1" customWidth="1"/>
    <col min="18" max="18" width="17.21875" customWidth="1"/>
  </cols>
  <sheetData>
    <row r="3" spans="8:20" x14ac:dyDescent="0.3">
      <c r="H3">
        <v>5</v>
      </c>
      <c r="I3" s="16" t="s">
        <v>111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8:20" x14ac:dyDescent="0.3">
      <c r="H4" t="s">
        <v>140</v>
      </c>
      <c r="I4" s="16" t="s">
        <v>112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8:20" x14ac:dyDescent="0.3">
      <c r="H5" t="s">
        <v>141</v>
      </c>
      <c r="I5" s="16" t="s">
        <v>113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8:20" x14ac:dyDescent="0.3">
      <c r="I6" s="16"/>
      <c r="J6" s="16" t="s">
        <v>114</v>
      </c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8:20" x14ac:dyDescent="0.3">
      <c r="H7" s="25" t="s">
        <v>164</v>
      </c>
      <c r="I7" s="24" t="s">
        <v>115</v>
      </c>
      <c r="J7" s="24"/>
      <c r="K7" s="24"/>
    </row>
    <row r="9" spans="8:20" x14ac:dyDescent="0.3">
      <c r="I9" s="20" t="s">
        <v>116</v>
      </c>
      <c r="J9" s="21" t="s">
        <v>117</v>
      </c>
      <c r="K9" s="21" t="s">
        <v>118</v>
      </c>
      <c r="L9" s="21" t="s">
        <v>119</v>
      </c>
      <c r="M9" s="21" t="s">
        <v>120</v>
      </c>
    </row>
    <row r="10" spans="8:20" x14ac:dyDescent="0.3">
      <c r="I10" s="2" t="s">
        <v>121</v>
      </c>
      <c r="J10" s="2" t="s">
        <v>130</v>
      </c>
      <c r="K10" s="2" t="s">
        <v>137</v>
      </c>
      <c r="L10" s="2">
        <v>2</v>
      </c>
      <c r="M10" s="2">
        <v>81</v>
      </c>
    </row>
    <row r="11" spans="8:20" x14ac:dyDescent="0.3">
      <c r="I11" s="2" t="s">
        <v>122</v>
      </c>
      <c r="J11" s="2" t="s">
        <v>131</v>
      </c>
      <c r="K11" s="2" t="s">
        <v>137</v>
      </c>
      <c r="L11" s="2">
        <v>5</v>
      </c>
      <c r="M11" s="2">
        <v>121</v>
      </c>
    </row>
    <row r="12" spans="8:20" x14ac:dyDescent="0.3">
      <c r="I12" s="2" t="s">
        <v>123</v>
      </c>
      <c r="J12" s="2" t="s">
        <v>132</v>
      </c>
      <c r="K12" s="2" t="s">
        <v>138</v>
      </c>
      <c r="L12" s="2">
        <v>7</v>
      </c>
      <c r="M12" s="2">
        <v>239</v>
      </c>
    </row>
    <row r="13" spans="8:20" x14ac:dyDescent="0.3">
      <c r="I13" s="2" t="s">
        <v>124</v>
      </c>
      <c r="J13" s="2" t="s">
        <v>130</v>
      </c>
      <c r="K13" s="2" t="s">
        <v>137</v>
      </c>
      <c r="L13" s="2">
        <v>3</v>
      </c>
      <c r="M13" s="2">
        <v>500</v>
      </c>
    </row>
    <row r="14" spans="8:20" x14ac:dyDescent="0.3">
      <c r="I14" s="2" t="s">
        <v>125</v>
      </c>
      <c r="J14" s="2" t="s">
        <v>133</v>
      </c>
      <c r="K14" s="2" t="s">
        <v>139</v>
      </c>
      <c r="L14" s="2">
        <v>10</v>
      </c>
      <c r="M14" s="2">
        <v>432</v>
      </c>
    </row>
    <row r="15" spans="8:20" x14ac:dyDescent="0.3">
      <c r="I15" s="2" t="s">
        <v>126</v>
      </c>
      <c r="J15" s="2" t="s">
        <v>134</v>
      </c>
      <c r="K15" s="2" t="s">
        <v>137</v>
      </c>
      <c r="L15" s="2">
        <v>6</v>
      </c>
      <c r="M15" s="2">
        <v>160</v>
      </c>
    </row>
    <row r="16" spans="8:20" x14ac:dyDescent="0.3">
      <c r="I16" s="2" t="s">
        <v>127</v>
      </c>
      <c r="J16" s="2" t="s">
        <v>135</v>
      </c>
      <c r="K16" s="2" t="s">
        <v>137</v>
      </c>
      <c r="L16" s="2">
        <v>1</v>
      </c>
      <c r="M16" s="2">
        <v>348</v>
      </c>
    </row>
    <row r="17" spans="8:13" x14ac:dyDescent="0.3">
      <c r="I17" s="2" t="s">
        <v>128</v>
      </c>
      <c r="J17" s="2" t="s">
        <v>135</v>
      </c>
      <c r="K17" s="2" t="s">
        <v>137</v>
      </c>
      <c r="L17" s="2">
        <v>4</v>
      </c>
      <c r="M17" s="2">
        <v>152</v>
      </c>
    </row>
    <row r="18" spans="8:13" x14ac:dyDescent="0.3">
      <c r="I18" s="2" t="s">
        <v>129</v>
      </c>
      <c r="J18" s="2" t="s">
        <v>136</v>
      </c>
      <c r="K18" s="2" t="s">
        <v>139</v>
      </c>
      <c r="L18" s="2">
        <v>2</v>
      </c>
      <c r="M18" s="2">
        <v>369</v>
      </c>
    </row>
    <row r="19" spans="8:13" x14ac:dyDescent="0.3">
      <c r="H19" t="s">
        <v>142</v>
      </c>
    </row>
    <row r="20" spans="8:13" x14ac:dyDescent="0.3">
      <c r="I20" s="5" t="s">
        <v>143</v>
      </c>
      <c r="J20" s="5"/>
    </row>
    <row r="21" spans="8:13" ht="13.8" customHeight="1" x14ac:dyDescent="0.3">
      <c r="J21" t="s">
        <v>147</v>
      </c>
    </row>
    <row r="22" spans="8:13" x14ac:dyDescent="0.3">
      <c r="J22" t="s">
        <v>144</v>
      </c>
    </row>
    <row r="23" spans="8:13" x14ac:dyDescent="0.3">
      <c r="J23" t="s">
        <v>148</v>
      </c>
    </row>
    <row r="24" spans="8:13" ht="28.8" customHeight="1" x14ac:dyDescent="0.3">
      <c r="J24" s="17" t="s">
        <v>149</v>
      </c>
      <c r="K24" s="17"/>
    </row>
    <row r="25" spans="8:13" ht="18.600000000000001" customHeight="1" x14ac:dyDescent="0.3">
      <c r="J25" t="s">
        <v>150</v>
      </c>
    </row>
    <row r="26" spans="8:13" x14ac:dyDescent="0.3">
      <c r="J26" t="s">
        <v>145</v>
      </c>
    </row>
    <row r="27" spans="8:13" x14ac:dyDescent="0.3">
      <c r="J27" t="s">
        <v>146</v>
      </c>
    </row>
    <row r="28" spans="8:13" ht="43.2" x14ac:dyDescent="0.3">
      <c r="J28" s="17" t="s">
        <v>151</v>
      </c>
    </row>
    <row r="29" spans="8:13" ht="76.2" customHeight="1" x14ac:dyDescent="0.3">
      <c r="J29" s="17" t="s">
        <v>192</v>
      </c>
    </row>
    <row r="30" spans="8:13" ht="70.8" customHeight="1" x14ac:dyDescent="0.3">
      <c r="J30" s="17" t="s">
        <v>152</v>
      </c>
    </row>
    <row r="31" spans="8:13" ht="58.8" customHeight="1" x14ac:dyDescent="0.3">
      <c r="J31" s="17" t="s">
        <v>153</v>
      </c>
    </row>
    <row r="32" spans="8:13" ht="84" customHeight="1" x14ac:dyDescent="0.3">
      <c r="J32" s="17" t="s">
        <v>153</v>
      </c>
    </row>
    <row r="37" spans="8:19" x14ac:dyDescent="0.3">
      <c r="H37">
        <v>6</v>
      </c>
      <c r="I37" s="16" t="s">
        <v>103</v>
      </c>
      <c r="J37" s="16"/>
      <c r="K37" s="16"/>
      <c r="L37" s="16"/>
      <c r="M37" s="16"/>
      <c r="N37" s="16"/>
      <c r="O37" s="16"/>
      <c r="P37" s="16"/>
    </row>
    <row r="38" spans="8:19" x14ac:dyDescent="0.3">
      <c r="H38" t="s">
        <v>52</v>
      </c>
      <c r="I38" s="5" t="s">
        <v>49</v>
      </c>
      <c r="J38" s="5"/>
      <c r="K38" s="5"/>
      <c r="L38" s="5"/>
      <c r="M38" s="5"/>
      <c r="N38" s="5"/>
      <c r="O38" s="5"/>
      <c r="P38" s="5"/>
      <c r="S38" t="s">
        <v>50</v>
      </c>
    </row>
    <row r="39" spans="8:19" x14ac:dyDescent="0.3">
      <c r="H39" t="s">
        <v>63</v>
      </c>
    </row>
    <row r="40" spans="8:19" x14ac:dyDescent="0.3">
      <c r="H40" t="s">
        <v>51</v>
      </c>
      <c r="I40" t="s">
        <v>61</v>
      </c>
    </row>
    <row r="41" spans="8:19" x14ac:dyDescent="0.3">
      <c r="I41" t="s">
        <v>55</v>
      </c>
      <c r="J41" t="str">
        <f>LEFT(S38,5)</f>
        <v>excel</v>
      </c>
    </row>
    <row r="43" spans="8:19" x14ac:dyDescent="0.3">
      <c r="H43" t="s">
        <v>104</v>
      </c>
      <c r="I43" s="5" t="s">
        <v>53</v>
      </c>
      <c r="J43" s="5"/>
      <c r="K43" s="5"/>
      <c r="L43" s="5"/>
      <c r="M43" s="5"/>
      <c r="N43" s="5"/>
      <c r="O43" s="5"/>
      <c r="S43" t="s">
        <v>54</v>
      </c>
    </row>
    <row r="44" spans="8:19" x14ac:dyDescent="0.3">
      <c r="H44" t="s">
        <v>63</v>
      </c>
    </row>
    <row r="45" spans="8:19" x14ac:dyDescent="0.3">
      <c r="H45" t="s">
        <v>56</v>
      </c>
      <c r="I45" t="s">
        <v>60</v>
      </c>
    </row>
    <row r="46" spans="8:19" x14ac:dyDescent="0.3">
      <c r="I46" t="s">
        <v>55</v>
      </c>
      <c r="J46" t="str">
        <f>RIGHT(S43,4)</f>
        <v>xlsx</v>
      </c>
    </row>
    <row r="48" spans="8:19" x14ac:dyDescent="0.3">
      <c r="H48" t="s">
        <v>104</v>
      </c>
      <c r="I48" s="5" t="s">
        <v>57</v>
      </c>
      <c r="J48" s="5"/>
      <c r="K48" s="5"/>
      <c r="L48" s="5"/>
      <c r="M48" s="5"/>
      <c r="N48" s="5"/>
      <c r="O48" s="5"/>
    </row>
    <row r="49" spans="8:19" x14ac:dyDescent="0.3">
      <c r="H49" t="s">
        <v>62</v>
      </c>
    </row>
    <row r="50" spans="8:19" x14ac:dyDescent="0.3">
      <c r="H50" t="s">
        <v>59</v>
      </c>
      <c r="I50" t="s">
        <v>58</v>
      </c>
      <c r="S50" t="s">
        <v>50</v>
      </c>
    </row>
    <row r="51" spans="8:19" x14ac:dyDescent="0.3">
      <c r="I51" t="s">
        <v>55</v>
      </c>
      <c r="J51" t="str">
        <f>MID(S38,6,4)</f>
        <v>tips</v>
      </c>
    </row>
    <row r="53" spans="8:19" x14ac:dyDescent="0.3">
      <c r="H53" t="s">
        <v>104</v>
      </c>
      <c r="I53" s="5" t="s">
        <v>64</v>
      </c>
      <c r="J53" s="5"/>
      <c r="K53" s="5"/>
      <c r="L53" s="5"/>
      <c r="M53" s="5"/>
      <c r="N53" s="5"/>
      <c r="O53" s="5"/>
    </row>
    <row r="54" spans="8:19" x14ac:dyDescent="0.3">
      <c r="H54" t="s">
        <v>65</v>
      </c>
      <c r="Q54" t="s">
        <v>66</v>
      </c>
    </row>
    <row r="55" spans="8:19" x14ac:dyDescent="0.3">
      <c r="I55" t="s">
        <v>55</v>
      </c>
      <c r="J55">
        <f>LEN(Q54)</f>
        <v>12</v>
      </c>
    </row>
    <row r="57" spans="8:19" x14ac:dyDescent="0.3">
      <c r="H57" t="s">
        <v>104</v>
      </c>
      <c r="I57" s="5" t="s">
        <v>68</v>
      </c>
      <c r="J57" s="5"/>
      <c r="K57" s="5"/>
      <c r="L57" s="5"/>
      <c r="M57" s="5"/>
      <c r="N57" s="5"/>
      <c r="O57" s="5"/>
    </row>
    <row r="58" spans="8:19" x14ac:dyDescent="0.3">
      <c r="H58" t="s">
        <v>67</v>
      </c>
      <c r="I58" t="s">
        <v>69</v>
      </c>
      <c r="Q58" t="s">
        <v>70</v>
      </c>
    </row>
    <row r="59" spans="8:19" x14ac:dyDescent="0.3">
      <c r="I59" t="s">
        <v>55</v>
      </c>
      <c r="J59" t="str">
        <f>MID(Q58,7,1)</f>
        <v>6</v>
      </c>
    </row>
    <row r="61" spans="8:19" x14ac:dyDescent="0.3">
      <c r="H61">
        <v>7</v>
      </c>
      <c r="I61" s="6" t="s">
        <v>71</v>
      </c>
      <c r="J61" s="6"/>
      <c r="K61" s="6"/>
      <c r="L61" s="6"/>
      <c r="M61" s="6"/>
      <c r="N61" s="6"/>
      <c r="O61" s="6"/>
    </row>
    <row r="62" spans="8:19" x14ac:dyDescent="0.3">
      <c r="H62" t="s">
        <v>72</v>
      </c>
    </row>
    <row r="63" spans="8:19" x14ac:dyDescent="0.3">
      <c r="H63" t="s">
        <v>73</v>
      </c>
      <c r="I63" s="5"/>
      <c r="J63" s="5"/>
      <c r="K63" s="5"/>
      <c r="L63" s="5"/>
      <c r="M63" s="5"/>
      <c r="N63" s="5"/>
    </row>
    <row r="64" spans="8:19" x14ac:dyDescent="0.3">
      <c r="H64" t="s">
        <v>79</v>
      </c>
      <c r="P64" t="s">
        <v>75</v>
      </c>
      <c r="Q64" t="s">
        <v>76</v>
      </c>
    </row>
    <row r="65" spans="8:19" x14ac:dyDescent="0.3">
      <c r="I65" t="str">
        <f>_xlfn.CONCAT(P64," ",Q64)</f>
        <v>HELLO WORLD</v>
      </c>
    </row>
    <row r="67" spans="8:19" x14ac:dyDescent="0.3">
      <c r="H67" t="s">
        <v>77</v>
      </c>
      <c r="I67" s="5" t="s">
        <v>78</v>
      </c>
      <c r="J67" s="5"/>
      <c r="K67" s="5"/>
      <c r="L67" s="5"/>
      <c r="M67" s="5"/>
      <c r="N67" s="5"/>
      <c r="O67" s="5"/>
      <c r="P67" s="5"/>
    </row>
    <row r="68" spans="8:19" x14ac:dyDescent="0.3">
      <c r="H68" t="s">
        <v>79</v>
      </c>
    </row>
    <row r="69" spans="8:19" x14ac:dyDescent="0.3">
      <c r="I69" t="str">
        <f>_xlfn.TEXTJOIN(",",TRUE,Q69,R69,S69)</f>
        <v>APPLE,BANANA,CHERRY</v>
      </c>
      <c r="Q69" t="s">
        <v>80</v>
      </c>
      <c r="R69" t="s">
        <v>81</v>
      </c>
      <c r="S69" t="s">
        <v>82</v>
      </c>
    </row>
    <row r="71" spans="8:19" x14ac:dyDescent="0.3">
      <c r="H71" t="s">
        <v>91</v>
      </c>
      <c r="I71" s="5" t="s">
        <v>86</v>
      </c>
      <c r="J71" s="5"/>
      <c r="K71" s="5"/>
      <c r="L71" s="5"/>
      <c r="M71" s="5"/>
      <c r="N71" s="5"/>
      <c r="O71" s="5"/>
      <c r="P71" s="5"/>
      <c r="Q71" s="5"/>
    </row>
    <row r="72" spans="8:19" x14ac:dyDescent="0.3">
      <c r="I72" s="5" t="s">
        <v>83</v>
      </c>
    </row>
    <row r="73" spans="8:19" x14ac:dyDescent="0.3">
      <c r="H73" t="s">
        <v>79</v>
      </c>
      <c r="J73" t="str">
        <f>"2025"&amp;":"&amp;" Excel Functions"</f>
        <v>2025: Excel Functions</v>
      </c>
    </row>
    <row r="75" spans="8:19" x14ac:dyDescent="0.3">
      <c r="H75" t="s">
        <v>84</v>
      </c>
      <c r="I75" s="5" t="s">
        <v>85</v>
      </c>
      <c r="J75" s="5"/>
      <c r="K75" s="5"/>
      <c r="L75" s="5"/>
      <c r="M75" s="5"/>
      <c r="N75" s="5"/>
      <c r="P75" s="17"/>
    </row>
    <row r="76" spans="8:19" x14ac:dyDescent="0.3">
      <c r="H76" t="s">
        <v>79</v>
      </c>
      <c r="P76" s="17"/>
      <c r="Q76" s="17"/>
    </row>
    <row r="77" spans="8:19" ht="21" customHeight="1" x14ac:dyDescent="0.3">
      <c r="I77" t="str">
        <f>_xlfn.TEXTJOIN(",",TRUE,Q69:R69:S69,R77,Q78)</f>
        <v>APPLE,BANANA,CHERRY,ORANGES,DATES</v>
      </c>
      <c r="P77" t="s">
        <v>80</v>
      </c>
      <c r="Q77" t="s">
        <v>82</v>
      </c>
      <c r="R77" t="s">
        <v>88</v>
      </c>
    </row>
    <row r="78" spans="8:19" x14ac:dyDescent="0.3">
      <c r="I78" s="17"/>
      <c r="P78" t="s">
        <v>81</v>
      </c>
      <c r="Q78" t="s">
        <v>87</v>
      </c>
    </row>
    <row r="79" spans="8:19" x14ac:dyDescent="0.3">
      <c r="H79" t="s">
        <v>89</v>
      </c>
      <c r="I79" s="5" t="s">
        <v>90</v>
      </c>
      <c r="J79" s="5"/>
      <c r="K79" s="5"/>
      <c r="L79" s="5"/>
      <c r="M79" s="5"/>
      <c r="N79" s="5"/>
      <c r="O79" s="5"/>
      <c r="P79" s="19"/>
    </row>
    <row r="80" spans="8:19" x14ac:dyDescent="0.3">
      <c r="H80" t="s">
        <v>79</v>
      </c>
    </row>
    <row r="81" spans="8:17" x14ac:dyDescent="0.3">
      <c r="I81" s="18" t="s">
        <v>92</v>
      </c>
      <c r="J81" s="18" t="s">
        <v>93</v>
      </c>
      <c r="K81" s="18" t="s">
        <v>94</v>
      </c>
    </row>
    <row r="82" spans="8:17" x14ac:dyDescent="0.3">
      <c r="I82" s="2" t="s">
        <v>95</v>
      </c>
      <c r="J82" s="2" t="s">
        <v>96</v>
      </c>
      <c r="K82" s="2" t="str">
        <f>_xlfn.CONCAT(I82,J82)</f>
        <v>RAJAKHARE</v>
      </c>
    </row>
    <row r="83" spans="8:17" x14ac:dyDescent="0.3">
      <c r="I83" s="2" t="s">
        <v>97</v>
      </c>
      <c r="J83" s="2" t="s">
        <v>98</v>
      </c>
      <c r="K83" s="2" t="str">
        <f t="shared" ref="K83:K85" si="0">_xlfn.CONCAT(I83,J83)</f>
        <v>HAPPYRAJ</v>
      </c>
    </row>
    <row r="84" spans="8:17" x14ac:dyDescent="0.3">
      <c r="I84" s="2" t="s">
        <v>99</v>
      </c>
      <c r="J84" s="2" t="s">
        <v>100</v>
      </c>
      <c r="K84" s="2" t="str">
        <f t="shared" si="0"/>
        <v>RIYAPANDEY</v>
      </c>
    </row>
    <row r="85" spans="8:17" x14ac:dyDescent="0.3">
      <c r="I85" s="2" t="s">
        <v>101</v>
      </c>
      <c r="J85" s="2" t="s">
        <v>102</v>
      </c>
      <c r="K85" s="2" t="str">
        <f t="shared" si="0"/>
        <v>NEELAMTIWARI</v>
      </c>
    </row>
    <row r="87" spans="8:17" x14ac:dyDescent="0.3">
      <c r="H87">
        <v>8</v>
      </c>
      <c r="I87" s="26" t="s">
        <v>105</v>
      </c>
      <c r="J87" s="26"/>
    </row>
    <row r="88" spans="8:17" x14ac:dyDescent="0.3">
      <c r="H88" t="s">
        <v>106</v>
      </c>
      <c r="I88" s="5" t="s">
        <v>107</v>
      </c>
      <c r="J88" s="5"/>
      <c r="K88" s="5"/>
      <c r="L88" s="5"/>
      <c r="M88" s="5"/>
      <c r="N88" s="5"/>
      <c r="O88" s="5"/>
      <c r="P88" s="5"/>
      <c r="Q88" s="5"/>
    </row>
    <row r="89" spans="8:17" x14ac:dyDescent="0.3">
      <c r="H89" t="s">
        <v>74</v>
      </c>
      <c r="I89" t="s">
        <v>110</v>
      </c>
    </row>
    <row r="90" spans="8:17" x14ac:dyDescent="0.3">
      <c r="I90" t="s">
        <v>35</v>
      </c>
    </row>
    <row r="91" spans="8:17" x14ac:dyDescent="0.3">
      <c r="I91" t="s">
        <v>36</v>
      </c>
    </row>
    <row r="92" spans="8:17" x14ac:dyDescent="0.3">
      <c r="I92" t="s">
        <v>109</v>
      </c>
    </row>
    <row r="93" spans="8:17" x14ac:dyDescent="0.3">
      <c r="I93" t="s">
        <v>108</v>
      </c>
    </row>
    <row r="94" spans="8:17" x14ac:dyDescent="0.3">
      <c r="H94" t="s">
        <v>180</v>
      </c>
    </row>
    <row r="95" spans="8:17" x14ac:dyDescent="0.3">
      <c r="I95" s="22">
        <f ca="1">TODAY()</f>
        <v>46034</v>
      </c>
      <c r="J95" s="23">
        <f ca="1">NOW()</f>
        <v>46034.717864467595</v>
      </c>
    </row>
    <row r="97" spans="8:17" x14ac:dyDescent="0.3">
      <c r="H97" t="s">
        <v>182</v>
      </c>
      <c r="I97" s="5" t="s">
        <v>181</v>
      </c>
      <c r="J97" s="5"/>
      <c r="K97" s="5"/>
      <c r="L97" s="5"/>
      <c r="M97" s="5"/>
      <c r="N97" s="5"/>
      <c r="O97" s="5"/>
      <c r="P97" s="5"/>
      <c r="Q97" s="5"/>
    </row>
    <row r="98" spans="8:17" ht="12" customHeight="1" x14ac:dyDescent="0.3">
      <c r="H98" t="s">
        <v>163</v>
      </c>
    </row>
    <row r="99" spans="8:17" hidden="1" x14ac:dyDescent="0.3"/>
    <row r="100" spans="8:17" hidden="1" x14ac:dyDescent="0.3">
      <c r="H100" t="s">
        <v>172</v>
      </c>
    </row>
    <row r="101" spans="8:17" hidden="1" x14ac:dyDescent="0.3">
      <c r="I101" s="22">
        <f ca="1">TODAY()</f>
        <v>46034</v>
      </c>
      <c r="J101" s="23">
        <f ca="1">NOW()</f>
        <v>46034.717864467595</v>
      </c>
    </row>
    <row r="102" spans="8:17" hidden="1" x14ac:dyDescent="0.3"/>
    <row r="103" spans="8:17" hidden="1" x14ac:dyDescent="0.3"/>
    <row r="104" spans="8:17" hidden="1" x14ac:dyDescent="0.3">
      <c r="H104" t="s">
        <v>154</v>
      </c>
      <c r="I104" s="5" t="s">
        <v>155</v>
      </c>
      <c r="J104" s="5"/>
      <c r="K104" s="5"/>
      <c r="L104" s="5"/>
      <c r="M104" s="5"/>
      <c r="N104" s="5"/>
      <c r="O104" s="5"/>
      <c r="P104" s="5"/>
    </row>
    <row r="105" spans="8:17" hidden="1" x14ac:dyDescent="0.3">
      <c r="I105" s="5" t="s">
        <v>156</v>
      </c>
    </row>
    <row r="106" spans="8:17" ht="14.4" customHeight="1" x14ac:dyDescent="0.3">
      <c r="H106" t="s">
        <v>179</v>
      </c>
      <c r="I106" s="22"/>
      <c r="K106" s="22">
        <v>45818</v>
      </c>
    </row>
    <row r="107" spans="8:17" ht="16.8" customHeight="1" x14ac:dyDescent="0.3">
      <c r="I107" s="22"/>
      <c r="L107" s="22"/>
    </row>
    <row r="108" spans="8:17" ht="15.6" customHeight="1" x14ac:dyDescent="0.3"/>
    <row r="109" spans="8:17" ht="17.399999999999999" customHeight="1" x14ac:dyDescent="0.3"/>
    <row r="110" spans="8:17" ht="18" customHeight="1" x14ac:dyDescent="0.3"/>
    <row r="111" spans="8:17" ht="14.4" customHeight="1" x14ac:dyDescent="0.3">
      <c r="H111" t="s">
        <v>160</v>
      </c>
      <c r="I111" s="5" t="s">
        <v>158</v>
      </c>
      <c r="J111" s="5"/>
      <c r="K111" s="5"/>
      <c r="L111" s="5"/>
      <c r="M111" s="5"/>
      <c r="N111" s="5"/>
      <c r="O111" s="5"/>
    </row>
    <row r="112" spans="8:17" ht="15" customHeight="1" x14ac:dyDescent="0.3">
      <c r="I112" s="5" t="s">
        <v>159</v>
      </c>
    </row>
    <row r="113" spans="8:17" ht="20.399999999999999" customHeight="1" x14ac:dyDescent="0.3">
      <c r="H113" t="s">
        <v>157</v>
      </c>
    </row>
    <row r="114" spans="8:17" x14ac:dyDescent="0.3">
      <c r="I114" s="23">
        <f ca="1">NOW()</f>
        <v>46034.717864467595</v>
      </c>
    </row>
    <row r="116" spans="8:17" x14ac:dyDescent="0.3">
      <c r="H116" t="s">
        <v>161</v>
      </c>
      <c r="I116" s="5" t="s">
        <v>162</v>
      </c>
      <c r="J116" s="5"/>
      <c r="K116" s="5"/>
      <c r="L116" s="5"/>
      <c r="M116" s="5"/>
      <c r="N116" s="5"/>
      <c r="O116" s="5"/>
    </row>
    <row r="117" spans="8:17" ht="16.2" customHeight="1" x14ac:dyDescent="0.3">
      <c r="H117" t="s">
        <v>45</v>
      </c>
      <c r="I117" s="17"/>
    </row>
    <row r="118" spans="8:17" x14ac:dyDescent="0.3">
      <c r="H118" t="s">
        <v>52</v>
      </c>
      <c r="I118" t="s">
        <v>165</v>
      </c>
    </row>
    <row r="119" spans="8:17" x14ac:dyDescent="0.3">
      <c r="I119" t="s">
        <v>166</v>
      </c>
    </row>
    <row r="120" spans="8:17" x14ac:dyDescent="0.3">
      <c r="I120" t="s">
        <v>167</v>
      </c>
    </row>
    <row r="122" spans="8:17" x14ac:dyDescent="0.3">
      <c r="H122" t="s">
        <v>168</v>
      </c>
      <c r="I122" s="5" t="s">
        <v>169</v>
      </c>
      <c r="J122" s="5"/>
      <c r="K122" s="5"/>
      <c r="L122" s="5"/>
      <c r="M122" s="5"/>
      <c r="N122" s="5"/>
      <c r="O122" s="5"/>
      <c r="P122" s="5"/>
      <c r="Q122" s="5"/>
    </row>
    <row r="123" spans="8:17" ht="17.399999999999999" customHeight="1" x14ac:dyDescent="0.3">
      <c r="H123" t="s">
        <v>52</v>
      </c>
    </row>
    <row r="124" spans="8:17" x14ac:dyDescent="0.3">
      <c r="I124" t="s">
        <v>170</v>
      </c>
    </row>
    <row r="125" spans="8:17" x14ac:dyDescent="0.3">
      <c r="I125" t="s">
        <v>171</v>
      </c>
    </row>
  </sheetData>
  <dataValidations xWindow="192" yWindow="726" count="1">
    <dataValidation type="whole" allowBlank="1" showInputMessage="1" showErrorMessage="1" error="Invalid input! The quantity must be a whole number between 1 and 10" prompt="Please enter a whole number between 1 and 10." sqref="L10:L18" xr:uid="{A7A5066B-803B-4B04-9144-8EA1C4CDC83E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Khare</dc:creator>
  <cp:lastModifiedBy>Shreyash Khare</cp:lastModifiedBy>
  <dcterms:created xsi:type="dcterms:W3CDTF">2026-01-10T18:06:55Z</dcterms:created>
  <dcterms:modified xsi:type="dcterms:W3CDTF">2026-01-12T11:49:09Z</dcterms:modified>
</cp:coreProperties>
</file>